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cio final" sheetId="1" r:id="rId1"/>
    <sheet name="Instrucciones" sheetId="2" r:id="rId2"/>
  </sheet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₡&quot;#,##0"/>
    <numFmt numFmtId="166" formatCode="0.0&quot; kg&quot;"/>
    <numFmt numFmtId="167" formatCode="0.0%"/>
  </numFmts>
  <fonts count="3">
    <font>
      <sz val="11"/>
      <name val="Calibri"/>
    </font>
    <font>
      <b/>
      <sz val="11"/>
      <color rgb="FFF4F7FC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A0E1A"/>
      </patternFill>
    </fill>
    <fill>
      <patternFill patternType="solid">
        <fgColor rgb="FFCCF6FF"/>
      </patternFill>
    </fill>
    <fill>
      <patternFill patternType="solid">
        <fgColor rgb="FFFFF6CC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4" borderId="0" xfId="0" applyNumberFormat="1" applyFill="1"/>
    <xf numFmtId="165" fontId="0" fillId="0" borderId="0" xfId="0" applyNumberFormat="1"/>
    <xf numFmtId="167" fontId="0" fillId="0" borderId="0" xfId="0" applyNumberFormat="1"/>
    <xf numFmtId="166" fontId="0" fillId="0" borderId="0" xfId="0" applyNumberFormat="1"/>
    <xf numFmtId="165" fontId="2" fillId="3" borderId="0" xfId="0" applyNumberFormat="1" applyFont="1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4" customWidth="1"/>
    <col min="3" max="3" width="11" customWidth="1"/>
    <col min="4" max="4" width="12" customWidth="1"/>
    <col min="5" max="5" width="9" customWidth="1"/>
    <col min="6" max="6" width="11" customWidth="1"/>
    <col min="7" max="7" width="12" customWidth="1"/>
    <col min="8" max="8" width="11" customWidth="1"/>
    <col min="9" max="9" width="15" customWidth="1"/>
    <col min="10" max="10" width="10" customWidth="1"/>
    <col min="11" max="11" width="12" customWidth="1"/>
    <col min="12" max="12" width="13" customWidth="1"/>
    <col min="13" max="13" width="15" customWidth="1"/>
    <col min="14" max="14" width="16" customWidth="1"/>
    <col min="15" max="15" width="13" customWidth="1"/>
    <col min="16" max="16" width="12" customWidth="1"/>
  </cols>
  <sheetData>
    <row r="1">
      <c r="A1" t="inlineStr" s="1">
        <is>
          <t xml:space="preserve">Producto</t>
        </is>
      </c>
      <c r="B1" t="inlineStr" s="1">
        <is>
          <t xml:space="preserve">Categoría</t>
        </is>
      </c>
      <c r="C1" t="inlineStr" s="1">
        <is>
          <t xml:space="preserve">Precio USD</t>
        </is>
      </c>
      <c r="D1" t="inlineStr" s="1">
        <is>
          <t xml:space="preserve">Envío interno USD</t>
        </is>
      </c>
      <c r="E1" t="inlineStr" s="1">
        <is>
          <t xml:space="preserve">Peso kg</t>
        </is>
      </c>
      <c r="F1" t="inlineStr" s="1">
        <is>
          <t xml:space="preserve">Tarifa USD/kg</t>
        </is>
      </c>
      <c r="G1" t="inlineStr" s="1">
        <is>
          <t xml:space="preserve">TC venta BCCR</t>
        </is>
      </c>
      <c r="H1" t="inlineStr" s="1">
        <is>
          <t xml:space="preserve">Colchón TC %</t>
        </is>
      </c>
      <c r="I1" t="inlineStr" s="1">
        <is>
          <t xml:space="preserve">Impuestos ₡ (manual)</t>
        </is>
      </c>
      <c r="J1" t="inlineStr" s="1">
        <is>
          <t xml:space="preserve">Margen %</t>
        </is>
      </c>
      <c r="K1" t="inlineStr" s="1">
        <is>
          <t xml:space="preserve">Peso cobrado kg</t>
        </is>
      </c>
      <c r="L1" t="inlineStr" s="1">
        <is>
          <t xml:space="preserve">Costo ₡</t>
        </is>
      </c>
      <c r="M1" t="inlineStr" s="1">
        <is>
          <t xml:space="preserve">Precio sin redondear ₡</t>
        </is>
      </c>
      <c r="N1" t="inlineStr" s="1">
        <is>
          <t xml:space="preserve">PRECIO FINAL ₡</t>
        </is>
      </c>
      <c r="O1" t="inlineStr" s="1">
        <is>
          <t xml:space="preserve">Ganancia ₡</t>
        </is>
      </c>
      <c r="P1" t="inlineStr" s="1">
        <is>
          <t xml:space="preserve">Margen real %</t>
        </is>
      </c>
    </row>
    <row r="2">
      <c r="A2" t="inlineStr" s="7">
        <is>
          <t xml:space="preserve">EJEMPLO · Audífonos inalámbricos</t>
        </is>
      </c>
      <c r="B2" t="inlineStr" s="7">
        <is>
          <t xml:space="preserve">Audífonos</t>
        </is>
      </c>
      <c r="C2" s="2">
        <v>50</v>
      </c>
      <c r="D2" s="2">
        <v>0</v>
      </c>
      <c r="E2" s="5">
        <v>1.2</v>
      </c>
      <c r="F2" s="2">
        <v>14</v>
      </c>
      <c r="G2" s="3">
        <v>510</v>
      </c>
      <c r="H2" s="4">
        <v>0.02</v>
      </c>
      <c r="I2" s="3">
        <v>5000</v>
      </c>
      <c r="J2" s="4">
        <v>0.25</v>
      </c>
      <c r="K2" s="5">
        <f>IF(C2="","",ROUNDUP(E2,1))</f>
      </c>
      <c r="L2" s="3">
        <f>IF(C2="","",(C2+D2+K2*F2)*G2*(1+H2)+I2)</f>
      </c>
      <c r="M2" s="3">
        <f>IF(C2="","",L2*(1+J2))</f>
      </c>
      <c r="N2" s="6">
        <f>IF(C2="","",CEILING(M2,500)-100)</f>
      </c>
      <c r="O2" s="3">
        <f>IF(C2="","",N2-L2)</f>
      </c>
      <c r="P2" s="4">
        <f>IF(C2="","",O2/N2)</f>
      </c>
    </row>
    <row r="3">
      <c r="A3" t="inlineStr" s="7">
        <is>
          <t xml:space="preserve">EJEMPLO · Taladro inalámbrico</t>
        </is>
      </c>
      <c r="B3" t="inlineStr" s="7">
        <is>
          <t xml:space="preserve">Herramientas</t>
        </is>
      </c>
      <c r="C3" s="2">
        <v>89</v>
      </c>
      <c r="D3" s="2">
        <v>0</v>
      </c>
      <c r="E3" s="5">
        <v>3.4</v>
      </c>
      <c r="F3" s="2">
        <v>14</v>
      </c>
      <c r="G3" s="3">
        <v>510</v>
      </c>
      <c r="H3" s="4">
        <v>0.02</v>
      </c>
      <c r="I3" s="3">
        <v>9000</v>
      </c>
      <c r="J3" s="4">
        <v>0.25</v>
      </c>
      <c r="K3" s="5">
        <f>IF(C3="","",ROUNDUP(E3,1))</f>
      </c>
      <c r="L3" s="3">
        <f>IF(C3="","",(C3+D3+K3*F3)*G3*(1+H3)+I3)</f>
      </c>
      <c r="M3" s="3">
        <f>IF(C3="","",L3*(1+J3))</f>
      </c>
      <c r="N3" s="6">
        <f>IF(C3="","",CEILING(M3,500)-100)</f>
      </c>
      <c r="O3" s="3">
        <f>IF(C3="","",N3-L3)</f>
      </c>
      <c r="P3" s="4">
        <f>IF(C3="","",O3/N3)</f>
      </c>
    </row>
    <row r="4">
      <c r="F4" s="2">
        <v>14</v>
      </c>
      <c r="H4" s="4">
        <v>0.02</v>
      </c>
      <c r="K4" s="5">
        <f>IF(C4="","",ROUNDUP(E4,1))</f>
      </c>
      <c r="L4" s="3">
        <f>IF(C4="","",(C4+D4+K4*F4)*G4*(1+H4)+I4)</f>
      </c>
      <c r="M4" s="3">
        <f>IF(C4="","",L4*(1+J4))</f>
      </c>
      <c r="N4" s="6">
        <f>IF(C4="","",CEILING(M4,500)-100)</f>
      </c>
      <c r="O4" s="3">
        <f>IF(C4="","",N4-L4)</f>
      </c>
      <c r="P4" s="4">
        <f>IF(C4="","",O4/N4)</f>
      </c>
    </row>
    <row r="5">
      <c r="F5" s="2">
        <v>14</v>
      </c>
      <c r="H5" s="4">
        <v>0.02</v>
      </c>
      <c r="K5" s="5">
        <f>IF(C5="","",ROUNDUP(E5,1))</f>
      </c>
      <c r="L5" s="3">
        <f>IF(C5="","",(C5+D5+K5*F5)*G5*(1+H5)+I5)</f>
      </c>
      <c r="M5" s="3">
        <f>IF(C5="","",L5*(1+J5))</f>
      </c>
      <c r="N5" s="6">
        <f>IF(C5="","",CEILING(M5,500)-100)</f>
      </c>
      <c r="O5" s="3">
        <f>IF(C5="","",N5-L5)</f>
      </c>
      <c r="P5" s="4">
        <f>IF(C5="","",O5/N5)</f>
      </c>
    </row>
    <row r="6">
      <c r="F6" s="2">
        <v>14</v>
      </c>
      <c r="H6" s="4">
        <v>0.02</v>
      </c>
      <c r="K6" s="5">
        <f>IF(C6="","",ROUNDUP(E6,1))</f>
      </c>
      <c r="L6" s="3">
        <f>IF(C6="","",(C6+D6+K6*F6)*G6*(1+H6)+I6)</f>
      </c>
      <c r="M6" s="3">
        <f>IF(C6="","",L6*(1+J6))</f>
      </c>
      <c r="N6" s="6">
        <f>IF(C6="","",CEILING(M6,500)-100)</f>
      </c>
      <c r="O6" s="3">
        <f>IF(C6="","",N6-L6)</f>
      </c>
      <c r="P6" s="4">
        <f>IF(C6="","",O6/N6)</f>
      </c>
    </row>
    <row r="7">
      <c r="F7" s="2">
        <v>14</v>
      </c>
      <c r="H7" s="4">
        <v>0.02</v>
      </c>
      <c r="K7" s="5">
        <f>IF(C7="","",ROUNDUP(E7,1))</f>
      </c>
      <c r="L7" s="3">
        <f>IF(C7="","",(C7+D7+K7*F7)*G7*(1+H7)+I7)</f>
      </c>
      <c r="M7" s="3">
        <f>IF(C7="","",L7*(1+J7))</f>
      </c>
      <c r="N7" s="6">
        <f>IF(C7="","",CEILING(M7,500)-100)</f>
      </c>
      <c r="O7" s="3">
        <f>IF(C7="","",N7-L7)</f>
      </c>
      <c r="P7" s="4">
        <f>IF(C7="","",O7/N7)</f>
      </c>
    </row>
    <row r="8">
      <c r="F8" s="2">
        <v>14</v>
      </c>
      <c r="H8" s="4">
        <v>0.02</v>
      </c>
      <c r="K8" s="5">
        <f>IF(C8="","",ROUNDUP(E8,1))</f>
      </c>
      <c r="L8" s="3">
        <f>IF(C8="","",(C8+D8+K8*F8)*G8*(1+H8)+I8)</f>
      </c>
      <c r="M8" s="3">
        <f>IF(C8="","",L8*(1+J8))</f>
      </c>
      <c r="N8" s="6">
        <f>IF(C8="","",CEILING(M8,500)-100)</f>
      </c>
      <c r="O8" s="3">
        <f>IF(C8="","",N8-L8)</f>
      </c>
      <c r="P8" s="4">
        <f>IF(C8="","",O8/N8)</f>
      </c>
    </row>
    <row r="9">
      <c r="F9" s="2">
        <v>14</v>
      </c>
      <c r="H9" s="4">
        <v>0.02</v>
      </c>
      <c r="K9" s="5">
        <f>IF(C9="","",ROUNDUP(E9,1))</f>
      </c>
      <c r="L9" s="3">
        <f>IF(C9="","",(C9+D9+K9*F9)*G9*(1+H9)+I9)</f>
      </c>
      <c r="M9" s="3">
        <f>IF(C9="","",L9*(1+J9))</f>
      </c>
      <c r="N9" s="6">
        <f>IF(C9="","",CEILING(M9,500)-100)</f>
      </c>
      <c r="O9" s="3">
        <f>IF(C9="","",N9-L9)</f>
      </c>
      <c r="P9" s="4">
        <f>IF(C9="","",O9/N9)</f>
      </c>
    </row>
    <row r="10">
      <c r="F10" s="2">
        <v>14</v>
      </c>
      <c r="H10" s="4">
        <v>0.02</v>
      </c>
      <c r="K10" s="5">
        <f>IF(C10="","",ROUNDUP(E10,1))</f>
      </c>
      <c r="L10" s="3">
        <f>IF(C10="","",(C10+D10+K10*F10)*G10*(1+H10)+I10)</f>
      </c>
      <c r="M10" s="3">
        <f>IF(C10="","",L10*(1+J10))</f>
      </c>
      <c r="N10" s="6">
        <f>IF(C10="","",CEILING(M10,500)-100)</f>
      </c>
      <c r="O10" s="3">
        <f>IF(C10="","",N10-L10)</f>
      </c>
      <c r="P10" s="4">
        <f>IF(C10="","",O10/N10)</f>
      </c>
    </row>
    <row r="11">
      <c r="F11" s="2">
        <v>14</v>
      </c>
      <c r="H11" s="4">
        <v>0.02</v>
      </c>
      <c r="K11" s="5">
        <f>IF(C11="","",ROUNDUP(E11,1))</f>
      </c>
      <c r="L11" s="3">
        <f>IF(C11="","",(C11+D11+K11*F11)*G11*(1+H11)+I11)</f>
      </c>
      <c r="M11" s="3">
        <f>IF(C11="","",L11*(1+J11))</f>
      </c>
      <c r="N11" s="6">
        <f>IF(C11="","",CEILING(M11,500)-100)</f>
      </c>
      <c r="O11" s="3">
        <f>IF(C11="","",N11-L11)</f>
      </c>
      <c r="P11" s="4">
        <f>IF(C11="","",O11/N11)</f>
      </c>
    </row>
    <row r="12">
      <c r="F12" s="2">
        <v>14</v>
      </c>
      <c r="H12" s="4">
        <v>0.02</v>
      </c>
      <c r="K12" s="5">
        <f>IF(C12="","",ROUNDUP(E12,1))</f>
      </c>
      <c r="L12" s="3">
        <f>IF(C12="","",(C12+D12+K12*F12)*G12*(1+H12)+I12)</f>
      </c>
      <c r="M12" s="3">
        <f>IF(C12="","",L12*(1+J12))</f>
      </c>
      <c r="N12" s="6">
        <f>IF(C12="","",CEILING(M12,500)-100)</f>
      </c>
      <c r="O12" s="3">
        <f>IF(C12="","",N12-L12)</f>
      </c>
      <c r="P12" s="4">
        <f>IF(C12="","",O12/N12)</f>
      </c>
    </row>
    <row r="13">
      <c r="F13" s="2">
        <v>14</v>
      </c>
      <c r="H13" s="4">
        <v>0.02</v>
      </c>
      <c r="K13" s="5">
        <f>IF(C13="","",ROUNDUP(E13,1))</f>
      </c>
      <c r="L13" s="3">
        <f>IF(C13="","",(C13+D13+K13*F13)*G13*(1+H13)+I13)</f>
      </c>
      <c r="M13" s="3">
        <f>IF(C13="","",L13*(1+J13))</f>
      </c>
      <c r="N13" s="6">
        <f>IF(C13="","",CEILING(M13,500)-100)</f>
      </c>
      <c r="O13" s="3">
        <f>IF(C13="","",N13-L13)</f>
      </c>
      <c r="P13" s="4">
        <f>IF(C13="","",O13/N13)</f>
      </c>
    </row>
    <row r="14">
      <c r="F14" s="2">
        <v>14</v>
      </c>
      <c r="H14" s="4">
        <v>0.02</v>
      </c>
      <c r="K14" s="5">
        <f>IF(C14="","",ROUNDUP(E14,1))</f>
      </c>
      <c r="L14" s="3">
        <f>IF(C14="","",(C14+D14+K14*F14)*G14*(1+H14)+I14)</f>
      </c>
      <c r="M14" s="3">
        <f>IF(C14="","",L14*(1+J14))</f>
      </c>
      <c r="N14" s="6">
        <f>IF(C14="","",CEILING(M14,500)-100)</f>
      </c>
      <c r="O14" s="3">
        <f>IF(C14="","",N14-L14)</f>
      </c>
      <c r="P14" s="4">
        <f>IF(C14="","",O14/N14)</f>
      </c>
    </row>
    <row r="15">
      <c r="F15" s="2">
        <v>14</v>
      </c>
      <c r="H15" s="4">
        <v>0.02</v>
      </c>
      <c r="K15" s="5">
        <f>IF(C15="","",ROUNDUP(E15,1))</f>
      </c>
      <c r="L15" s="3">
        <f>IF(C15="","",(C15+D15+K15*F15)*G15*(1+H15)+I15)</f>
      </c>
      <c r="M15" s="3">
        <f>IF(C15="","",L15*(1+J15))</f>
      </c>
      <c r="N15" s="6">
        <f>IF(C15="","",CEILING(M15,500)-100)</f>
      </c>
      <c r="O15" s="3">
        <f>IF(C15="","",N15-L15)</f>
      </c>
      <c r="P15" s="4">
        <f>IF(C15="","",O15/N15)</f>
      </c>
    </row>
    <row r="16">
      <c r="F16" s="2">
        <v>14</v>
      </c>
      <c r="H16" s="4">
        <v>0.02</v>
      </c>
      <c r="K16" s="5">
        <f>IF(C16="","",ROUNDUP(E16,1))</f>
      </c>
      <c r="L16" s="3">
        <f>IF(C16="","",(C16+D16+K16*F16)*G16*(1+H16)+I16)</f>
      </c>
      <c r="M16" s="3">
        <f>IF(C16="","",L16*(1+J16))</f>
      </c>
      <c r="N16" s="6">
        <f>IF(C16="","",CEILING(M16,500)-100)</f>
      </c>
      <c r="O16" s="3">
        <f>IF(C16="","",N16-L16)</f>
      </c>
      <c r="P16" s="4">
        <f>IF(C16="","",O16/N16)</f>
      </c>
    </row>
    <row r="17">
      <c r="F17" s="2">
        <v>14</v>
      </c>
      <c r="H17" s="4">
        <v>0.02</v>
      </c>
      <c r="K17" s="5">
        <f>IF(C17="","",ROUNDUP(E17,1))</f>
      </c>
      <c r="L17" s="3">
        <f>IF(C17="","",(C17+D17+K17*F17)*G17*(1+H17)+I17)</f>
      </c>
      <c r="M17" s="3">
        <f>IF(C17="","",L17*(1+J17))</f>
      </c>
      <c r="N17" s="6">
        <f>IF(C17="","",CEILING(M17,500)-100)</f>
      </c>
      <c r="O17" s="3">
        <f>IF(C17="","",N17-L17)</f>
      </c>
      <c r="P17" s="4">
        <f>IF(C17="","",O17/N17)</f>
      </c>
    </row>
    <row r="18">
      <c r="F18" s="2">
        <v>14</v>
      </c>
      <c r="H18" s="4">
        <v>0.02</v>
      </c>
      <c r="K18" s="5">
        <f>IF(C18="","",ROUNDUP(E18,1))</f>
      </c>
      <c r="L18" s="3">
        <f>IF(C18="","",(C18+D18+K18*F18)*G18*(1+H18)+I18)</f>
      </c>
      <c r="M18" s="3">
        <f>IF(C18="","",L18*(1+J18))</f>
      </c>
      <c r="N18" s="6">
        <f>IF(C18="","",CEILING(M18,500)-100)</f>
      </c>
      <c r="O18" s="3">
        <f>IF(C18="","",N18-L18)</f>
      </c>
      <c r="P18" s="4">
        <f>IF(C18="","",O18/N18)</f>
      </c>
    </row>
    <row r="19">
      <c r="F19" s="2">
        <v>14</v>
      </c>
      <c r="H19" s="4">
        <v>0.02</v>
      </c>
      <c r="K19" s="5">
        <f>IF(C19="","",ROUNDUP(E19,1))</f>
      </c>
      <c r="L19" s="3">
        <f>IF(C19="","",(C19+D19+K19*F19)*G19*(1+H19)+I19)</f>
      </c>
      <c r="M19" s="3">
        <f>IF(C19="","",L19*(1+J19))</f>
      </c>
      <c r="N19" s="6">
        <f>IF(C19="","",CEILING(M19,500)-100)</f>
      </c>
      <c r="O19" s="3">
        <f>IF(C19="","",N19-L19)</f>
      </c>
      <c r="P19" s="4">
        <f>IF(C19="","",O19/N19)</f>
      </c>
    </row>
    <row r="20">
      <c r="F20" s="2">
        <v>14</v>
      </c>
      <c r="H20" s="4">
        <v>0.02</v>
      </c>
      <c r="K20" s="5">
        <f>IF(C20="","",ROUNDUP(E20,1))</f>
      </c>
      <c r="L20" s="3">
        <f>IF(C20="","",(C20+D20+K20*F20)*G20*(1+H20)+I20)</f>
      </c>
      <c r="M20" s="3">
        <f>IF(C20="","",L20*(1+J20))</f>
      </c>
      <c r="N20" s="6">
        <f>IF(C20="","",CEILING(M20,500)-100)</f>
      </c>
      <c r="O20" s="3">
        <f>IF(C20="","",N20-L20)</f>
      </c>
      <c r="P20" s="4">
        <f>IF(C20="","",O20/N20)</f>
      </c>
    </row>
    <row r="21">
      <c r="F21" s="2">
        <v>14</v>
      </c>
      <c r="H21" s="4">
        <v>0.02</v>
      </c>
      <c r="K21" s="5">
        <f>IF(C21="","",ROUNDUP(E21,1))</f>
      </c>
      <c r="L21" s="3">
        <f>IF(C21="","",(C21+D21+K21*F21)*G21*(1+H21)+I21)</f>
      </c>
      <c r="M21" s="3">
        <f>IF(C21="","",L21*(1+J21))</f>
      </c>
      <c r="N21" s="6">
        <f>IF(C21="","",CEILING(M21,500)-100)</f>
      </c>
      <c r="O21" s="3">
        <f>IF(C21="","",N21-L21)</f>
      </c>
      <c r="P21" s="4">
        <f>IF(C21="","",O21/N21)</f>
      </c>
    </row>
    <row r="22">
      <c r="F22" s="2">
        <v>14</v>
      </c>
      <c r="H22" s="4">
        <v>0.02</v>
      </c>
      <c r="K22" s="5">
        <f>IF(C22="","",ROUNDUP(E22,1))</f>
      </c>
      <c r="L22" s="3">
        <f>IF(C22="","",(C22+D22+K22*F22)*G22*(1+H22)+I22)</f>
      </c>
      <c r="M22" s="3">
        <f>IF(C22="","",L22*(1+J22))</f>
      </c>
      <c r="N22" s="6">
        <f>IF(C22="","",CEILING(M22,500)-100)</f>
      </c>
      <c r="O22" s="3">
        <f>IF(C22="","",N22-L22)</f>
      </c>
      <c r="P22" s="4">
        <f>IF(C22="","",O22/N22)</f>
      </c>
    </row>
    <row r="23">
      <c r="F23" s="2">
        <v>14</v>
      </c>
      <c r="H23" s="4">
        <v>0.02</v>
      </c>
      <c r="K23" s="5">
        <f>IF(C23="","",ROUNDUP(E23,1))</f>
      </c>
      <c r="L23" s="3">
        <f>IF(C23="","",(C23+D23+K23*F23)*G23*(1+H23)+I23)</f>
      </c>
      <c r="M23" s="3">
        <f>IF(C23="","",L23*(1+J23))</f>
      </c>
      <c r="N23" s="6">
        <f>IF(C23="","",CEILING(M23,500)-100)</f>
      </c>
      <c r="O23" s="3">
        <f>IF(C23="","",N23-L23)</f>
      </c>
      <c r="P23" s="4">
        <f>IF(C23="","",O23/N23)</f>
      </c>
    </row>
    <row r="24">
      <c r="F24" s="2">
        <v>14</v>
      </c>
      <c r="H24" s="4">
        <v>0.02</v>
      </c>
      <c r="K24" s="5">
        <f>IF(C24="","",ROUNDUP(E24,1))</f>
      </c>
      <c r="L24" s="3">
        <f>IF(C24="","",(C24+D24+K24*F24)*G24*(1+H24)+I24)</f>
      </c>
      <c r="M24" s="3">
        <f>IF(C24="","",L24*(1+J24))</f>
      </c>
      <c r="N24" s="6">
        <f>IF(C24="","",CEILING(M24,500)-100)</f>
      </c>
      <c r="O24" s="3">
        <f>IF(C24="","",N24-L24)</f>
      </c>
      <c r="P24" s="4">
        <f>IF(C24="","",O24/N24)</f>
      </c>
    </row>
    <row r="25">
      <c r="F25" s="2">
        <v>14</v>
      </c>
      <c r="H25" s="4">
        <v>0.02</v>
      </c>
      <c r="K25" s="5">
        <f>IF(C25="","",ROUNDUP(E25,1))</f>
      </c>
      <c r="L25" s="3">
        <f>IF(C25="","",(C25+D25+K25*F25)*G25*(1+H25)+I25)</f>
      </c>
      <c r="M25" s="3">
        <f>IF(C25="","",L25*(1+J25))</f>
      </c>
      <c r="N25" s="6">
        <f>IF(C25="","",CEILING(M25,500)-100)</f>
      </c>
      <c r="O25" s="3">
        <f>IF(C25="","",N25-L25)</f>
      </c>
      <c r="P25" s="4">
        <f>IF(C25="","",O25/N25)</f>
      </c>
    </row>
    <row r="26">
      <c r="F26" s="2">
        <v>14</v>
      </c>
      <c r="H26" s="4">
        <v>0.02</v>
      </c>
      <c r="K26" s="5">
        <f>IF(C26="","",ROUNDUP(E26,1))</f>
      </c>
      <c r="L26" s="3">
        <f>IF(C26="","",(C26+D26+K26*F26)*G26*(1+H26)+I26)</f>
      </c>
      <c r="M26" s="3">
        <f>IF(C26="","",L26*(1+J26))</f>
      </c>
      <c r="N26" s="6">
        <f>IF(C26="","",CEILING(M26,500)-100)</f>
      </c>
      <c r="O26" s="3">
        <f>IF(C26="","",N26-L26)</f>
      </c>
      <c r="P26" s="4">
        <f>IF(C26="","",O26/N26)</f>
      </c>
    </row>
    <row r="27">
      <c r="F27" s="2">
        <v>14</v>
      </c>
      <c r="H27" s="4">
        <v>0.02</v>
      </c>
      <c r="K27" s="5">
        <f>IF(C27="","",ROUNDUP(E27,1))</f>
      </c>
      <c r="L27" s="3">
        <f>IF(C27="","",(C27+D27+K27*F27)*G27*(1+H27)+I27)</f>
      </c>
      <c r="M27" s="3">
        <f>IF(C27="","",L27*(1+J27))</f>
      </c>
      <c r="N27" s="6">
        <f>IF(C27="","",CEILING(M27,500)-100)</f>
      </c>
      <c r="O27" s="3">
        <f>IF(C27="","",N27-L27)</f>
      </c>
      <c r="P27" s="4">
        <f>IF(C27="","",O27/N27)</f>
      </c>
    </row>
    <row r="28">
      <c r="F28" s="2">
        <v>14</v>
      </c>
      <c r="H28" s="4">
        <v>0.02</v>
      </c>
      <c r="K28" s="5">
        <f>IF(C28="","",ROUNDUP(E28,1))</f>
      </c>
      <c r="L28" s="3">
        <f>IF(C28="","",(C28+D28+K28*F28)*G28*(1+H28)+I28)</f>
      </c>
      <c r="M28" s="3">
        <f>IF(C28="","",L28*(1+J28))</f>
      </c>
      <c r="N28" s="6">
        <f>IF(C28="","",CEILING(M28,500)-100)</f>
      </c>
      <c r="O28" s="3">
        <f>IF(C28="","",N28-L28)</f>
      </c>
      <c r="P28" s="4">
        <f>IF(C28="","",O28/N28)</f>
      </c>
    </row>
    <row r="29">
      <c r="F29" s="2">
        <v>14</v>
      </c>
      <c r="H29" s="4">
        <v>0.02</v>
      </c>
      <c r="K29" s="5">
        <f>IF(C29="","",ROUNDUP(E29,1))</f>
      </c>
      <c r="L29" s="3">
        <f>IF(C29="","",(C29+D29+K29*F29)*G29*(1+H29)+I29)</f>
      </c>
      <c r="M29" s="3">
        <f>IF(C29="","",L29*(1+J29))</f>
      </c>
      <c r="N29" s="6">
        <f>IF(C29="","",CEILING(M29,500)-100)</f>
      </c>
      <c r="O29" s="3">
        <f>IF(C29="","",N29-L29)</f>
      </c>
      <c r="P29" s="4">
        <f>IF(C29="","",O29/N29)</f>
      </c>
    </row>
    <row r="30">
      <c r="F30" s="2">
        <v>14</v>
      </c>
      <c r="H30" s="4">
        <v>0.02</v>
      </c>
      <c r="K30" s="5">
        <f>IF(C30="","",ROUNDUP(E30,1))</f>
      </c>
      <c r="L30" s="3">
        <f>IF(C30="","",(C30+D30+K30*F30)*G30*(1+H30)+I30)</f>
      </c>
      <c r="M30" s="3">
        <f>IF(C30="","",L30*(1+J30))</f>
      </c>
      <c r="N30" s="6">
        <f>IF(C30="","",CEILING(M30,500)-100)</f>
      </c>
      <c r="O30" s="3">
        <f>IF(C30="","",N30-L30)</f>
      </c>
      <c r="P30" s="4">
        <f>IF(C30="","",O30/N30)</f>
      </c>
    </row>
    <row r="31">
      <c r="F31" s="2">
        <v>14</v>
      </c>
      <c r="H31" s="4">
        <v>0.02</v>
      </c>
      <c r="K31" s="5">
        <f>IF(C31="","",ROUNDUP(E31,1))</f>
      </c>
      <c r="L31" s="3">
        <f>IF(C31="","",(C31+D31+K31*F31)*G31*(1+H31)+I31)</f>
      </c>
      <c r="M31" s="3">
        <f>IF(C31="","",L31*(1+J31))</f>
      </c>
      <c r="N31" s="6">
        <f>IF(C31="","",CEILING(M31,500)-100)</f>
      </c>
      <c r="O31" s="3">
        <f>IF(C31="","",N31-L31)</f>
      </c>
      <c r="P31" s="4">
        <f>IF(C31="","",O31/N31)</f>
      </c>
    </row>
    <row r="32">
      <c r="F32" s="2">
        <v>14</v>
      </c>
      <c r="H32" s="4">
        <v>0.02</v>
      </c>
      <c r="K32" s="5">
        <f>IF(C32="","",ROUNDUP(E32,1))</f>
      </c>
      <c r="L32" s="3">
        <f>IF(C32="","",(C32+D32+K32*F32)*G32*(1+H32)+I32)</f>
      </c>
      <c r="M32" s="3">
        <f>IF(C32="","",L32*(1+J32))</f>
      </c>
      <c r="N32" s="6">
        <f>IF(C32="","",CEILING(M32,500)-100)</f>
      </c>
      <c r="O32" s="3">
        <f>IF(C32="","",N32-L32)</f>
      </c>
      <c r="P32" s="4">
        <f>IF(C32="","",O32/N32)</f>
      </c>
    </row>
    <row r="33">
      <c r="F33" s="2">
        <v>14</v>
      </c>
      <c r="H33" s="4">
        <v>0.02</v>
      </c>
      <c r="K33" s="5">
        <f>IF(C33="","",ROUNDUP(E33,1))</f>
      </c>
      <c r="L33" s="3">
        <f>IF(C33="","",(C33+D33+K33*F33)*G33*(1+H33)+I33)</f>
      </c>
      <c r="M33" s="3">
        <f>IF(C33="","",L33*(1+J33))</f>
      </c>
      <c r="N33" s="6">
        <f>IF(C33="","",CEILING(M33,500)-100)</f>
      </c>
      <c r="O33" s="3">
        <f>IF(C33="","",N33-L33)</f>
      </c>
      <c r="P33" s="4">
        <f>IF(C33="","",O33/N33)</f>
      </c>
    </row>
  </sheetData>
</worksheet>
</file>

<file path=xl/worksheets/sheet2.xml><?xml version="1.0" encoding="utf-8"?>
<worksheet xmlns="http://schemas.openxmlformats.org/spreadsheetml/2006/main">
  <cols>
    <col min="1" max="1" width="140" customWidth="1"/>
  </cols>
  <sheetData>
    <row r="1">
      <c r="A1" t="inlineStr" s="1">
        <is>
          <t xml:space="preserve">CÓMO USAR ESTA HOJA</t>
        </is>
      </c>
    </row>
    <row r="2">
      <c r="A2" t="inlineStr" s="0">
        <is>
          <t xml:space="preserve"/>
        </is>
      </c>
    </row>
    <row r="3">
      <c r="A3" t="inlineStr" s="0">
        <is>
          <t xml:space="preserve">1. Llená solo las columnas A a J. Las columnas K a P se calculan solas (la columna N, en celeste, es el precio que publicás).</t>
        </is>
      </c>
    </row>
    <row r="4">
      <c r="A4" t="inlineStr" s="0">
        <is>
          <t xml:space="preserve">2. Precio USD: precio del producto en la tienda, con el impuesto de venta de EE.UU. si lo cobra.</t>
        </is>
      </c>
    </row>
    <row r="5">
      <c r="A5" t="inlineStr" s="0">
        <is>
          <t xml:space="preserve">3. Envío interno USD: lo que cobre la tienda por mandarlo a la bodega de Los Ángeles (0 si es gratis).</t>
        </is>
      </c>
    </row>
    <row r="6">
      <c r="A6" t="inlineStr" s="0">
        <is>
          <t xml:space="preserve">4. Peso kg: peso con empaque. La hoja lo redondea hacia arriba al 0,1 kg (columna K).</t>
        </is>
      </c>
    </row>
    <row r="7">
      <c r="A7" t="inlineStr" s="0">
        <is>
          <t xml:space="preserve">5. Tarifa USD/kg: 14 (tarifa actual de Nexo, src/lib/pricing.ts).</t>
        </is>
      </c>
    </row>
    <row r="8">
      <c r="A8" t="inlineStr" s="0">
        <is>
          <t xml:space="preserve">6. TC venta BCCR: pegá el tipo de cambio de venta del día (indicador 318 del BCCR, el mismo que usa la web al cobrar).</t>
        </is>
      </c>
    </row>
    <row r="9">
      <c r="A9" t="inlineStr" s="0">
        <is>
          <t xml:space="preserve">7. Colchón TC %: margen de seguridad por si sube el tipo de cambio entre que publicás y comprás (sugerido 2%).</t>
        </is>
      </c>
    </row>
    <row r="10">
      <c r="A10" t="inlineStr" s="0">
        <is>
          <t xml:space="preserve">8. Impuestos ₡: los calculás vos a mano y los ponés en colones.</t>
        </is>
      </c>
    </row>
    <row r="11">
      <c r="A11" t="inlineStr" s="0">
        <is>
          <t xml:space="preserve">9. Margen %: tu ganancia sobre el costo (lo definís vos).</t>
        </is>
      </c>
    </row>
    <row r="12">
      <c r="A12" t="inlineStr" s="0">
        <is>
          <t xml:space="preserve"/>
        </is>
      </c>
    </row>
    <row r="13">
      <c r="A13" t="inlineStr" s="1">
        <is>
          <t xml:space="preserve">FÓRMULAS</t>
        </is>
      </c>
    </row>
    <row r="14">
      <c r="A14" t="inlineStr" s="0">
        <is>
          <t xml:space="preserve">Peso cobrado = REDONDEAR.MAS(Peso; 1)</t>
        </is>
      </c>
    </row>
    <row r="15">
      <c r="A15" t="inlineStr" s="0">
        <is>
          <t xml:space="preserve">Costo ₡ = (Precio USD + Envío interno USD + Peso cobrado × Tarifa) × TC × (1 + Colchón TC) + Impuestos ₡</t>
        </is>
      </c>
    </row>
    <row r="16">
      <c r="A16" t="inlineStr" s="0">
        <is>
          <t xml:space="preserve">Precio sin redondear = Costo ₡ × (1 + Margen %)</t>
        </is>
      </c>
    </row>
    <row r="17">
      <c r="A17" t="inlineStr" s="0">
        <is>
          <t xml:space="preserve">PRECIO FINAL ₡ = MULTIPLO.SUPERIOR(Precio sin redondear; 500) − 100 → siempre termina en ₡…400 o ₡…900 y nunca baja más de ₡100 del precio calculado</t>
        </is>
      </c>
    </row>
    <row r="18">
      <c r="A18" t="inlineStr" s="0">
        <is>
          <t xml:space="preserve">Ganancia ₡ = Precio final − Costo ₡</t>
        </is>
      </c>
    </row>
    <row r="19">
      <c r="A19" t="inlineStr" s="0">
        <is>
          <t xml:space="preserve">Margen real % = Ganancia ₡ / Precio final</t>
        </is>
      </c>
    </row>
    <row r="20">
      <c r="A20" t="inlineStr" s="0">
        <is>
          <t xml:space="preserve"/>
        </is>
      </c>
    </row>
    <row r="21">
      <c r="A21" t="inlineStr" s="0">
        <is>
          <t xml:space="preserve">Las dos filas EJEMPLO son de prueba (tipo de cambio e impuestos inventados). Borralas o reemplazalas.</t>
        </is>
      </c>
    </row>
  </sheetData>
</worksheet>
</file>